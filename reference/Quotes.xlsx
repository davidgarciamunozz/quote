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3"/>
  <workbookPr/>
  <mc:AlternateContent xmlns:mc="http://schemas.openxmlformats.org/markup-compatibility/2006">
    <mc:Choice Requires="x15">
      <x15ac:absPath xmlns:x15ac="http://schemas.microsoft.com/office/spreadsheetml/2010/11/ac" url="C:\Users\DarcyValentinaUrbano\Downloads\"/>
    </mc:Choice>
  </mc:AlternateContent>
  <xr:revisionPtr revIDLastSave="0" documentId="8_{DDA184D6-2491-DD44-A88D-56C7D75F6EE3}" xr6:coauthVersionLast="47" xr6:coauthVersionMax="47" xr10:uidLastSave="{00000000-0000-0000-0000-000000000000}"/>
  <bookViews>
    <workbookView xWindow="0" yWindow="0" windowWidth="19200" windowHeight="6640" activeTab="6" xr2:uid="{00000000-000D-0000-FFFF-FFFF00000000}"/>
  </bookViews>
  <sheets>
    <sheet name="CATALOGO" sheetId="3" r:id="rId1"/>
    <sheet name="DENTISTA" sheetId="2" r:id="rId2"/>
    <sheet name="LABORATORIO" sheetId="6" r:id="rId3"/>
    <sheet name="IMPLANTOLOGO" sheetId="4" r:id="rId4"/>
    <sheet name="PERIODONCISTA" sheetId="5" r:id="rId5"/>
    <sheet name="ENDODONCISTA" sheetId="7" r:id="rId6"/>
    <sheet name="COTIZACIÓN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F10" i="6"/>
  <c r="E8" i="6"/>
  <c r="E13" i="1"/>
  <c r="F13" i="1"/>
  <c r="E12" i="1"/>
  <c r="F12" i="1"/>
  <c r="E6" i="1"/>
  <c r="F6" i="1"/>
  <c r="E5" i="1"/>
  <c r="F5" i="1"/>
  <c r="E4" i="7"/>
  <c r="F4" i="7"/>
  <c r="F5" i="7"/>
  <c r="F10" i="1"/>
  <c r="E5" i="5"/>
  <c r="F5" i="5"/>
  <c r="E4" i="5"/>
  <c r="F4" i="5"/>
  <c r="F6" i="5"/>
  <c r="F9" i="1"/>
  <c r="E5" i="4"/>
  <c r="F5" i="4"/>
  <c r="E6" i="4"/>
  <c r="F6" i="4"/>
  <c r="E4" i="4"/>
  <c r="F4" i="4"/>
  <c r="F7" i="4"/>
  <c r="F11" i="1"/>
  <c r="E31" i="6"/>
  <c r="F31" i="6"/>
  <c r="E29" i="6"/>
  <c r="F29" i="6"/>
  <c r="E27" i="6"/>
  <c r="F27" i="6"/>
  <c r="E25" i="6"/>
  <c r="F25" i="6"/>
  <c r="E23" i="6"/>
  <c r="F23" i="6"/>
  <c r="E21" i="6"/>
  <c r="F21" i="6"/>
  <c r="E19" i="6"/>
  <c r="F19" i="6"/>
  <c r="E17" i="6"/>
  <c r="F17" i="6"/>
  <c r="E16" i="6"/>
  <c r="F16" i="6"/>
  <c r="E13" i="6"/>
  <c r="F13" i="6"/>
  <c r="E14" i="6"/>
  <c r="F14" i="6"/>
  <c r="E6" i="6"/>
  <c r="F6" i="6"/>
  <c r="E7" i="6"/>
  <c r="F7" i="6"/>
  <c r="F8" i="6"/>
  <c r="E5" i="6"/>
  <c r="F5" i="6"/>
  <c r="E5" i="2"/>
  <c r="F5" i="2"/>
  <c r="E6" i="2"/>
  <c r="F6" i="2"/>
  <c r="E7" i="2"/>
  <c r="F7" i="2"/>
  <c r="E8" i="2"/>
  <c r="F8" i="2"/>
  <c r="E9" i="2"/>
  <c r="F9" i="2"/>
  <c r="E10" i="2"/>
  <c r="F10" i="2"/>
  <c r="E4" i="2"/>
  <c r="F4" i="2"/>
  <c r="F32" i="6"/>
  <c r="F7" i="1"/>
  <c r="F11" i="2"/>
  <c r="F8" i="1"/>
  <c r="F14" i="1"/>
  <c r="F18" i="1"/>
  <c r="F19" i="1"/>
  <c r="F20" i="1"/>
</calcChain>
</file>

<file path=xl/sharedStrings.xml><?xml version="1.0" encoding="utf-8"?>
<sst xmlns="http://schemas.openxmlformats.org/spreadsheetml/2006/main" count="112" uniqueCount="60">
  <si>
    <t>Egresos</t>
  </si>
  <si>
    <t>Transporte</t>
  </si>
  <si>
    <t>Hotel</t>
  </si>
  <si>
    <t>Laboratorio</t>
  </si>
  <si>
    <t>Dentista</t>
  </si>
  <si>
    <t>Video y edición</t>
  </si>
  <si>
    <t>Ganancia operacional</t>
  </si>
  <si>
    <t>COTIZACIÓN PACIENTES</t>
  </si>
  <si>
    <t>Total de Egresos</t>
  </si>
  <si>
    <t>Alimentación</t>
  </si>
  <si>
    <t>Higiene</t>
  </si>
  <si>
    <t>Cantidad</t>
  </si>
  <si>
    <t>Caries</t>
  </si>
  <si>
    <t>Carillas</t>
  </si>
  <si>
    <t>COSTO DENTISTA</t>
  </si>
  <si>
    <t>Raspado periodontal</t>
  </si>
  <si>
    <t>Precio</t>
  </si>
  <si>
    <t>Implantes</t>
  </si>
  <si>
    <t>Ingerto de Hueso</t>
  </si>
  <si>
    <t>Rehabilitación de implante</t>
  </si>
  <si>
    <t>Implantologo</t>
  </si>
  <si>
    <t>Periodoncista</t>
  </si>
  <si>
    <t>COSTO IMPLANTOLOGO</t>
  </si>
  <si>
    <t>COSTO PERIODONCISTA</t>
  </si>
  <si>
    <t>Coronas Puesta</t>
  </si>
  <si>
    <t>Carillas Puesta</t>
  </si>
  <si>
    <t>COSTO LABORATORIO</t>
  </si>
  <si>
    <t xml:space="preserve">Lista de precios </t>
  </si>
  <si>
    <t xml:space="preserve">Corona </t>
  </si>
  <si>
    <t>Endodoncista</t>
  </si>
  <si>
    <t>Total Cotización COP</t>
  </si>
  <si>
    <t>Total Cotización USD</t>
  </si>
  <si>
    <t>Dólar Hoy</t>
  </si>
  <si>
    <t>COSTO ENDODONCISTA</t>
  </si>
  <si>
    <t xml:space="preserve">Endodoncia </t>
  </si>
  <si>
    <t>Endodoncia</t>
  </si>
  <si>
    <t>Preparación Puente</t>
  </si>
  <si>
    <t>Carilla</t>
  </si>
  <si>
    <t>Corona</t>
  </si>
  <si>
    <t>Corona Metal Porcelana</t>
  </si>
  <si>
    <t>Corona en Circonio</t>
  </si>
  <si>
    <t>Incrustración Disilicato</t>
  </si>
  <si>
    <t>Carilla en Disilicato</t>
  </si>
  <si>
    <t>Carilla en Ceromero</t>
  </si>
  <si>
    <t>Corona en Ceromero</t>
  </si>
  <si>
    <t>Placa extracomfort</t>
  </si>
  <si>
    <t>Corona en Disilicato</t>
  </si>
  <si>
    <t>Encerado diagnostico</t>
  </si>
  <si>
    <t>Provisional autocurado</t>
  </si>
  <si>
    <t>Provisional termocurado</t>
  </si>
  <si>
    <t>Protesis total o parcial</t>
  </si>
  <si>
    <t>Protesis inmediata</t>
  </si>
  <si>
    <t xml:space="preserve">Placa acetato </t>
  </si>
  <si>
    <t>Retenedor essix</t>
  </si>
  <si>
    <t>Escaner</t>
  </si>
  <si>
    <t>Extracción diente</t>
  </si>
  <si>
    <t>Extracción cordales</t>
  </si>
  <si>
    <t>Recorte de encia</t>
  </si>
  <si>
    <t>Unidad</t>
  </si>
  <si>
    <t>Total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</si>
</sst>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</cellStyleXfs>
  <cellXfs count="15">
    <xf numFmtId="0" fontId="0" fillId="0" borderId="0" xfId="0"/>
    <xf numFmtId="0" fontId="3" fillId="2" borderId="0" xfId="3"/>
    <xf numFmtId="0" fontId="4" fillId="3" borderId="0" xfId="4" applyFont="1"/>
    <xf numFmtId="164" fontId="0" fillId="0" borderId="0" xfId="1" applyFont="1"/>
    <xf numFmtId="164" fontId="4" fillId="3" borderId="0" xfId="4" applyNumberFormat="1" applyFont="1"/>
    <xf numFmtId="164" fontId="3" fillId="2" borderId="0" xfId="3" applyNumberFormat="1"/>
    <xf numFmtId="0" fontId="8" fillId="2" borderId="0" xfId="3" applyFont="1"/>
    <xf numFmtId="164" fontId="8" fillId="2" borderId="0" xfId="3" applyNumberFormat="1" applyFont="1"/>
    <xf numFmtId="0" fontId="2" fillId="0" borderId="1" xfId="2"/>
    <xf numFmtId="164" fontId="2" fillId="0" borderId="1" xfId="2" applyNumberFormat="1"/>
    <xf numFmtId="164" fontId="4" fillId="3" borderId="0" xfId="1" applyFont="1" applyFill="1"/>
    <xf numFmtId="164" fontId="2" fillId="0" borderId="1" xfId="1" applyFont="1" applyBorder="1"/>
    <xf numFmtId="0" fontId="4" fillId="4" borderId="0" xfId="5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6">
    <cellStyle name="Bueno" xfId="3" builtinId="26"/>
    <cellStyle name="Énfasis1" xfId="4" builtinId="29"/>
    <cellStyle name="Énfasis6" xfId="5" builtinId="49"/>
    <cellStyle name="Moneda" xfId="1" builtinId="4"/>
    <cellStyle name="Normal" xfId="0" builtinId="0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A8" sqref="A8"/>
    </sheetView>
  </sheetViews>
  <sheetFormatPr defaultColWidth="10.76171875" defaultRowHeight="15" x14ac:dyDescent="0.2"/>
  <cols>
    <col min="1" max="1" width="23.13671875" bestFit="1" customWidth="1"/>
    <col min="2" max="2" width="14.125" style="3" bestFit="1" customWidth="1"/>
  </cols>
  <sheetData>
    <row r="1" spans="1:2" x14ac:dyDescent="0.2">
      <c r="A1" s="12" t="s">
        <v>27</v>
      </c>
      <c r="B1" s="12"/>
    </row>
    <row r="2" spans="1:2" x14ac:dyDescent="0.2">
      <c r="A2" t="s">
        <v>28</v>
      </c>
      <c r="B2" s="3">
        <v>260000</v>
      </c>
    </row>
    <row r="3" spans="1:2" x14ac:dyDescent="0.2">
      <c r="A3" t="s">
        <v>17</v>
      </c>
      <c r="B3" s="3">
        <v>1800000</v>
      </c>
    </row>
    <row r="4" spans="1:2" x14ac:dyDescent="0.2">
      <c r="A4" t="s">
        <v>13</v>
      </c>
      <c r="B4" s="3">
        <v>190000</v>
      </c>
    </row>
    <row r="5" spans="1:2" x14ac:dyDescent="0.2">
      <c r="A5" t="s">
        <v>10</v>
      </c>
      <c r="B5" s="3">
        <v>160000</v>
      </c>
    </row>
    <row r="6" spans="1:2" x14ac:dyDescent="0.2">
      <c r="A6" t="s">
        <v>12</v>
      </c>
      <c r="B6" s="3">
        <v>100000</v>
      </c>
    </row>
    <row r="7" spans="1:2" x14ac:dyDescent="0.2">
      <c r="A7" t="s">
        <v>1</v>
      </c>
      <c r="B7" s="3">
        <v>800000</v>
      </c>
    </row>
    <row r="8" spans="1:2" x14ac:dyDescent="0.2">
      <c r="A8" t="s">
        <v>35</v>
      </c>
      <c r="B8" s="3">
        <v>500000</v>
      </c>
    </row>
    <row r="9" spans="1:2" x14ac:dyDescent="0.2">
      <c r="A9" t="s">
        <v>36</v>
      </c>
      <c r="B9" s="3">
        <v>50000</v>
      </c>
    </row>
    <row r="10" spans="1:2" x14ac:dyDescent="0.2">
      <c r="A10" t="s">
        <v>24</v>
      </c>
      <c r="B10" s="3">
        <v>80000</v>
      </c>
    </row>
    <row r="11" spans="1:2" x14ac:dyDescent="0.2">
      <c r="A11" t="s">
        <v>25</v>
      </c>
      <c r="B11" s="3">
        <v>110000</v>
      </c>
    </row>
    <row r="12" spans="1:2" x14ac:dyDescent="0.2">
      <c r="A12" t="s">
        <v>39</v>
      </c>
      <c r="B12" s="3">
        <v>150000</v>
      </c>
    </row>
    <row r="13" spans="1:2" x14ac:dyDescent="0.2">
      <c r="A13" t="s">
        <v>44</v>
      </c>
      <c r="B13" s="3">
        <v>160000</v>
      </c>
    </row>
    <row r="14" spans="1:2" x14ac:dyDescent="0.2">
      <c r="A14" t="s">
        <v>46</v>
      </c>
      <c r="B14" s="3">
        <v>230000</v>
      </c>
    </row>
    <row r="15" spans="1:2" x14ac:dyDescent="0.2">
      <c r="A15" t="s">
        <v>40</v>
      </c>
      <c r="B15" s="3">
        <v>250000</v>
      </c>
    </row>
    <row r="16" spans="1:2" x14ac:dyDescent="0.2">
      <c r="A16" t="s">
        <v>41</v>
      </c>
      <c r="B16" s="3">
        <v>230000</v>
      </c>
    </row>
    <row r="17" spans="1:2" x14ac:dyDescent="0.2">
      <c r="A17" t="s">
        <v>42</v>
      </c>
      <c r="B17" s="3">
        <v>230000</v>
      </c>
    </row>
    <row r="18" spans="1:2" x14ac:dyDescent="0.2">
      <c r="A18" t="s">
        <v>43</v>
      </c>
      <c r="B18" s="3">
        <v>160000</v>
      </c>
    </row>
    <row r="19" spans="1:2" x14ac:dyDescent="0.2">
      <c r="A19" t="s">
        <v>48</v>
      </c>
      <c r="B19" s="3">
        <v>30000</v>
      </c>
    </row>
    <row r="20" spans="1:2" x14ac:dyDescent="0.2">
      <c r="A20" t="s">
        <v>49</v>
      </c>
      <c r="B20" s="3">
        <v>35000</v>
      </c>
    </row>
    <row r="21" spans="1:2" x14ac:dyDescent="0.2">
      <c r="A21" t="s">
        <v>45</v>
      </c>
      <c r="B21" s="3">
        <v>160000</v>
      </c>
    </row>
    <row r="22" spans="1:2" x14ac:dyDescent="0.2">
      <c r="A22" t="s">
        <v>50</v>
      </c>
      <c r="B22" s="3">
        <v>150000</v>
      </c>
    </row>
    <row r="23" spans="1:2" x14ac:dyDescent="0.2">
      <c r="A23" t="s">
        <v>51</v>
      </c>
      <c r="B23" s="3">
        <v>90000</v>
      </c>
    </row>
    <row r="24" spans="1:2" x14ac:dyDescent="0.2">
      <c r="A24" t="s">
        <v>52</v>
      </c>
      <c r="B24" s="3">
        <v>30000</v>
      </c>
    </row>
    <row r="25" spans="1:2" x14ac:dyDescent="0.2">
      <c r="A25" t="s">
        <v>53</v>
      </c>
      <c r="B25" s="3">
        <v>30000</v>
      </c>
    </row>
    <row r="26" spans="1:2" x14ac:dyDescent="0.2">
      <c r="A26" t="s">
        <v>47</v>
      </c>
      <c r="B26" s="3">
        <v>20000</v>
      </c>
    </row>
    <row r="27" spans="1:2" x14ac:dyDescent="0.2">
      <c r="A27" t="s">
        <v>54</v>
      </c>
      <c r="B27" s="3">
        <v>250000</v>
      </c>
    </row>
    <row r="28" spans="1:2" x14ac:dyDescent="0.2">
      <c r="A28" t="s">
        <v>18</v>
      </c>
      <c r="B28" s="3">
        <v>300000</v>
      </c>
    </row>
    <row r="29" spans="1:2" x14ac:dyDescent="0.2">
      <c r="A29" t="s">
        <v>19</v>
      </c>
      <c r="B29" s="3">
        <v>800000</v>
      </c>
    </row>
    <row r="30" spans="1:2" x14ac:dyDescent="0.2">
      <c r="A30" t="s">
        <v>15</v>
      </c>
      <c r="B30" s="3">
        <v>400000</v>
      </c>
    </row>
    <row r="31" spans="1:2" x14ac:dyDescent="0.2">
      <c r="A31" t="s">
        <v>34</v>
      </c>
      <c r="B31" s="3">
        <v>500000</v>
      </c>
    </row>
    <row r="32" spans="1:2" x14ac:dyDescent="0.2">
      <c r="A32" t="s">
        <v>2</v>
      </c>
      <c r="B32" s="3">
        <v>340000</v>
      </c>
    </row>
    <row r="33" spans="1:2" x14ac:dyDescent="0.2">
      <c r="A33" t="s">
        <v>9</v>
      </c>
      <c r="B33" s="3">
        <v>100000</v>
      </c>
    </row>
    <row r="34" spans="1:2" x14ac:dyDescent="0.2">
      <c r="A34" t="s">
        <v>5</v>
      </c>
      <c r="B34" s="3">
        <v>450000</v>
      </c>
    </row>
    <row r="35" spans="1:2" x14ac:dyDescent="0.2">
      <c r="A35" t="s">
        <v>55</v>
      </c>
      <c r="B35" s="3">
        <v>50000</v>
      </c>
    </row>
    <row r="36" spans="1:2" x14ac:dyDescent="0.2">
      <c r="A36" t="s">
        <v>56</v>
      </c>
      <c r="B36" s="3">
        <v>100000</v>
      </c>
    </row>
    <row r="37" spans="1:2" x14ac:dyDescent="0.2">
      <c r="A37" t="s">
        <v>57</v>
      </c>
      <c r="B37" s="3">
        <v>80000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1"/>
  <sheetViews>
    <sheetView showGridLines="0" workbookViewId="0">
      <selection activeCell="E20" sqref="E20"/>
    </sheetView>
  </sheetViews>
  <sheetFormatPr defaultColWidth="10.76171875" defaultRowHeight="15" x14ac:dyDescent="0.2"/>
  <cols>
    <col min="2" max="2" width="18.96484375" bestFit="1" customWidth="1"/>
    <col min="5" max="5" width="12.5078125" bestFit="1" customWidth="1"/>
    <col min="6" max="6" width="14.125" bestFit="1" customWidth="1"/>
  </cols>
  <sheetData>
    <row r="1" spans="2:6" x14ac:dyDescent="0.2">
      <c r="B1" s="13" t="s">
        <v>14</v>
      </c>
      <c r="C1" s="13"/>
      <c r="D1" s="13"/>
      <c r="E1" s="13"/>
      <c r="F1" s="13"/>
    </row>
    <row r="2" spans="2:6" x14ac:dyDescent="0.2">
      <c r="B2" s="13"/>
      <c r="C2" s="13"/>
      <c r="D2" s="13"/>
      <c r="E2" s="13"/>
      <c r="F2" s="13"/>
    </row>
    <row r="3" spans="2:6" x14ac:dyDescent="0.2">
      <c r="B3" s="2" t="s">
        <v>0</v>
      </c>
      <c r="C3" s="2"/>
      <c r="D3" s="2" t="s">
        <v>11</v>
      </c>
      <c r="E3" s="2" t="s">
        <v>16</v>
      </c>
      <c r="F3" s="2"/>
    </row>
    <row r="4" spans="2:6" x14ac:dyDescent="0.2">
      <c r="B4" t="s">
        <v>10</v>
      </c>
      <c r="D4">
        <v>1</v>
      </c>
      <c r="E4" s="3">
        <f>VLOOKUP(B4,CATALOGO!A:B,2,FALSE)</f>
        <v>160000</v>
      </c>
      <c r="F4" s="3">
        <f>D4*E4</f>
        <v>160000</v>
      </c>
    </row>
    <row r="5" spans="2:6" x14ac:dyDescent="0.2">
      <c r="B5" t="s">
        <v>36</v>
      </c>
      <c r="D5">
        <v>3</v>
      </c>
      <c r="E5" s="3">
        <f>VLOOKUP(B5,CATALOGO!A:B,2,FALSE)</f>
        <v>50000</v>
      </c>
      <c r="F5" s="3">
        <f>D5*E5</f>
        <v>150000</v>
      </c>
    </row>
    <row r="6" spans="2:6" x14ac:dyDescent="0.2">
      <c r="B6" t="s">
        <v>12</v>
      </c>
      <c r="D6">
        <v>2</v>
      </c>
      <c r="E6" s="3">
        <f>VLOOKUP(B6,CATALOGO!A:B,2,FALSE)</f>
        <v>100000</v>
      </c>
      <c r="F6" s="3">
        <f>D6*E6</f>
        <v>200000</v>
      </c>
    </row>
    <row r="7" spans="2:6" x14ac:dyDescent="0.2">
      <c r="B7" t="s">
        <v>24</v>
      </c>
      <c r="D7">
        <v>20</v>
      </c>
      <c r="E7" s="3">
        <f>VLOOKUP(B7,CATALOGO!A:B,2,FALSE)</f>
        <v>80000</v>
      </c>
      <c r="F7" s="3">
        <f>D7*E7</f>
        <v>1600000</v>
      </c>
    </row>
    <row r="8" spans="2:6" x14ac:dyDescent="0.2">
      <c r="B8" t="s">
        <v>25</v>
      </c>
      <c r="D8">
        <v>0</v>
      </c>
      <c r="E8" s="3">
        <f>VLOOKUP(B8,CATALOGO!A:B,2,FALSE)</f>
        <v>110000</v>
      </c>
      <c r="F8" s="3">
        <f>D8*E8</f>
        <v>0</v>
      </c>
    </row>
    <row r="9" spans="2:6" x14ac:dyDescent="0.2">
      <c r="B9" t="s">
        <v>55</v>
      </c>
      <c r="D9">
        <v>0</v>
      </c>
      <c r="E9" s="3">
        <f>VLOOKUP(B9,CATALOGO!A:B,2,FALSE)</f>
        <v>50000</v>
      </c>
      <c r="F9" s="3">
        <f t="shared" ref="F9:F10" si="0">D9*E9</f>
        <v>0</v>
      </c>
    </row>
    <row r="10" spans="2:6" x14ac:dyDescent="0.2">
      <c r="B10" t="s">
        <v>56</v>
      </c>
      <c r="D10">
        <v>3</v>
      </c>
      <c r="E10" s="3">
        <f>VLOOKUP(B10,CATALOGO!A:B,2,FALSE)</f>
        <v>100000</v>
      </c>
      <c r="F10" s="3">
        <f t="shared" si="0"/>
        <v>300000</v>
      </c>
    </row>
    <row r="11" spans="2:6" x14ac:dyDescent="0.2">
      <c r="B11" s="2" t="s">
        <v>8</v>
      </c>
      <c r="C11" s="2"/>
      <c r="D11" s="2"/>
      <c r="E11" s="2"/>
      <c r="F11" s="4">
        <f>SUM(F4:F10)</f>
        <v>2410000</v>
      </c>
    </row>
  </sheetData>
  <mergeCells count="1">
    <mergeCell ref="B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2"/>
  <sheetViews>
    <sheetView showGridLines="0" workbookViewId="0">
      <selection activeCell="F32" sqref="F32"/>
    </sheetView>
  </sheetViews>
  <sheetFormatPr defaultColWidth="10.76171875" defaultRowHeight="15" x14ac:dyDescent="0.2"/>
  <cols>
    <col min="2" max="2" width="18.96484375" bestFit="1" customWidth="1"/>
    <col min="5" max="6" width="14.2578125" bestFit="1" customWidth="1"/>
  </cols>
  <sheetData>
    <row r="1" spans="2:6" x14ac:dyDescent="0.2">
      <c r="B1" s="13" t="s">
        <v>26</v>
      </c>
      <c r="C1" s="13"/>
      <c r="D1" s="13"/>
      <c r="E1" s="13"/>
      <c r="F1" s="13"/>
    </row>
    <row r="2" spans="2:6" x14ac:dyDescent="0.2">
      <c r="B2" s="13"/>
      <c r="C2" s="13"/>
      <c r="D2" s="13"/>
      <c r="E2" s="13"/>
      <c r="F2" s="13"/>
    </row>
    <row r="3" spans="2:6" x14ac:dyDescent="0.2">
      <c r="B3" s="2" t="s">
        <v>0</v>
      </c>
      <c r="C3" s="2"/>
      <c r="D3" s="2" t="s">
        <v>11</v>
      </c>
      <c r="E3" s="2" t="s">
        <v>16</v>
      </c>
      <c r="F3" s="2"/>
    </row>
    <row r="4" spans="2:6" x14ac:dyDescent="0.2">
      <c r="B4" s="1" t="s">
        <v>38</v>
      </c>
      <c r="C4" s="1"/>
      <c r="D4" s="1"/>
      <c r="E4" s="1"/>
      <c r="F4" s="1"/>
    </row>
    <row r="5" spans="2:6" x14ac:dyDescent="0.2">
      <c r="B5" t="s">
        <v>39</v>
      </c>
      <c r="D5">
        <v>20</v>
      </c>
      <c r="E5" s="3">
        <f>VLOOKUP(B5:B8,CATALOGO!A:B,2,FALSE)</f>
        <v>150000</v>
      </c>
      <c r="F5" s="3">
        <f>D5*E5</f>
        <v>3000000</v>
      </c>
    </row>
    <row r="6" spans="2:6" x14ac:dyDescent="0.2">
      <c r="B6" t="s">
        <v>44</v>
      </c>
      <c r="D6">
        <v>0</v>
      </c>
      <c r="E6" s="3">
        <f>VLOOKUP(B6:B9,CATALOGO!A:B,2,FALSE)</f>
        <v>160000</v>
      </c>
      <c r="F6" s="3">
        <f t="shared" ref="F6:F8" si="0">D6*E6</f>
        <v>0</v>
      </c>
    </row>
    <row r="7" spans="2:6" x14ac:dyDescent="0.2">
      <c r="B7" t="s">
        <v>46</v>
      </c>
      <c r="D7">
        <v>0</v>
      </c>
      <c r="E7" s="3">
        <f>VLOOKUP(B7:B10,CATALOGO!A:B,2,FALSE)</f>
        <v>230000</v>
      </c>
      <c r="F7" s="3">
        <f t="shared" si="0"/>
        <v>0</v>
      </c>
    </row>
    <row r="8" spans="2:6" x14ac:dyDescent="0.2">
      <c r="B8" t="s">
        <v>40</v>
      </c>
      <c r="D8">
        <v>0</v>
      </c>
      <c r="E8" s="3">
        <f>VLOOKUP(B8:B11,CATALOGO!A:B,2,FALSE)</f>
        <v>250000</v>
      </c>
      <c r="F8" s="3">
        <f t="shared" si="0"/>
        <v>0</v>
      </c>
    </row>
    <row r="9" spans="2:6" x14ac:dyDescent="0.2">
      <c r="E9" s="3"/>
      <c r="F9" s="3"/>
    </row>
    <row r="10" spans="2:6" x14ac:dyDescent="0.2">
      <c r="B10" s="1" t="s">
        <v>41</v>
      </c>
      <c r="C10" s="1"/>
      <c r="D10" s="1">
        <v>0</v>
      </c>
      <c r="E10" s="5">
        <f>VLOOKUP(B10,CATALOGO!A:B,2,FALSE)</f>
        <v>230000</v>
      </c>
      <c r="F10" s="5">
        <f>D10*E10</f>
        <v>0</v>
      </c>
    </row>
    <row r="11" spans="2:6" x14ac:dyDescent="0.2">
      <c r="E11" s="3"/>
      <c r="F11" s="3"/>
    </row>
    <row r="12" spans="2:6" x14ac:dyDescent="0.2">
      <c r="B12" s="1" t="s">
        <v>37</v>
      </c>
      <c r="C12" s="1"/>
      <c r="D12" s="1"/>
      <c r="E12" s="1"/>
      <c r="F12" s="1"/>
    </row>
    <row r="13" spans="2:6" x14ac:dyDescent="0.2">
      <c r="B13" t="s">
        <v>42</v>
      </c>
      <c r="D13">
        <v>10</v>
      </c>
      <c r="E13" s="3">
        <f>VLOOKUP(B13:B16,CATALOGO!A:B,2,FALSE)</f>
        <v>230000</v>
      </c>
      <c r="F13" s="3">
        <f t="shared" ref="F13:F31" si="1">D13*E13</f>
        <v>2300000</v>
      </c>
    </row>
    <row r="14" spans="2:6" x14ac:dyDescent="0.2">
      <c r="B14" t="s">
        <v>43</v>
      </c>
      <c r="D14">
        <v>0</v>
      </c>
      <c r="E14" s="3">
        <f>VLOOKUP(B14:B17,CATALOGO!A:B,2,FALSE)</f>
        <v>160000</v>
      </c>
      <c r="F14" s="3">
        <f t="shared" si="1"/>
        <v>0</v>
      </c>
    </row>
    <row r="15" spans="2:6" x14ac:dyDescent="0.2">
      <c r="E15" s="3"/>
      <c r="F15" s="3"/>
    </row>
    <row r="16" spans="2:6" x14ac:dyDescent="0.2">
      <c r="B16" t="s">
        <v>48</v>
      </c>
      <c r="D16">
        <v>0</v>
      </c>
      <c r="E16" s="3">
        <f>VLOOKUP(B16:B19,CATALOGO!A:B,2,FALSE)</f>
        <v>30000</v>
      </c>
      <c r="F16" s="3">
        <f t="shared" si="1"/>
        <v>0</v>
      </c>
    </row>
    <row r="17" spans="2:6" x14ac:dyDescent="0.2">
      <c r="B17" t="s">
        <v>49</v>
      </c>
      <c r="D17">
        <v>0</v>
      </c>
      <c r="E17" s="3">
        <f>VLOOKUP(B17:B20,CATALOGO!A:B,2,FALSE)</f>
        <v>35000</v>
      </c>
      <c r="F17" s="3">
        <f t="shared" si="1"/>
        <v>0</v>
      </c>
    </row>
    <row r="18" spans="2:6" x14ac:dyDescent="0.2">
      <c r="E18" s="3"/>
      <c r="F18" s="3"/>
    </row>
    <row r="19" spans="2:6" x14ac:dyDescent="0.2">
      <c r="B19" t="s">
        <v>45</v>
      </c>
      <c r="D19">
        <v>1</v>
      </c>
      <c r="E19" s="3">
        <f>VLOOKUP(B19:B22,CATALOGO!A:B,2,FALSE)</f>
        <v>160000</v>
      </c>
      <c r="F19" s="3">
        <f t="shared" si="1"/>
        <v>160000</v>
      </c>
    </row>
    <row r="20" spans="2:6" x14ac:dyDescent="0.2">
      <c r="E20" s="3"/>
      <c r="F20" s="3"/>
    </row>
    <row r="21" spans="2:6" x14ac:dyDescent="0.2">
      <c r="B21" t="s">
        <v>50</v>
      </c>
      <c r="D21">
        <v>1</v>
      </c>
      <c r="E21" s="3">
        <f>VLOOKUP(B21:B24,CATALOGO!A:B,2,FALSE)</f>
        <v>150000</v>
      </c>
      <c r="F21" s="3">
        <f t="shared" si="1"/>
        <v>150000</v>
      </c>
    </row>
    <row r="22" spans="2:6" x14ac:dyDescent="0.2">
      <c r="E22" s="3"/>
      <c r="F22" s="3"/>
    </row>
    <row r="23" spans="2:6" x14ac:dyDescent="0.2">
      <c r="B23" t="s">
        <v>51</v>
      </c>
      <c r="D23">
        <v>1</v>
      </c>
      <c r="E23" s="3">
        <f>VLOOKUP(B23:B26,CATALOGO!A:B,2,FALSE)</f>
        <v>90000</v>
      </c>
      <c r="F23" s="3">
        <f t="shared" si="1"/>
        <v>90000</v>
      </c>
    </row>
    <row r="24" spans="2:6" x14ac:dyDescent="0.2">
      <c r="E24" s="3"/>
      <c r="F24" s="3"/>
    </row>
    <row r="25" spans="2:6" x14ac:dyDescent="0.2">
      <c r="B25" t="s">
        <v>52</v>
      </c>
      <c r="D25">
        <v>1</v>
      </c>
      <c r="E25" s="3">
        <f>VLOOKUP(B25:B28,CATALOGO!A:B,2,FALSE)</f>
        <v>30000</v>
      </c>
      <c r="F25" s="3">
        <f t="shared" si="1"/>
        <v>30000</v>
      </c>
    </row>
    <row r="26" spans="2:6" x14ac:dyDescent="0.2">
      <c r="E26" s="3"/>
      <c r="F26" s="3"/>
    </row>
    <row r="27" spans="2:6" x14ac:dyDescent="0.2">
      <c r="B27" t="s">
        <v>53</v>
      </c>
      <c r="D27">
        <v>4</v>
      </c>
      <c r="E27" s="3">
        <f>VLOOKUP(B27:B30,CATALOGO!A:B,2,FALSE)</f>
        <v>30000</v>
      </c>
      <c r="F27" s="3">
        <f t="shared" si="1"/>
        <v>120000</v>
      </c>
    </row>
    <row r="28" spans="2:6" x14ac:dyDescent="0.2">
      <c r="E28" s="3"/>
      <c r="F28" s="3"/>
    </row>
    <row r="29" spans="2:6" x14ac:dyDescent="0.2">
      <c r="B29" t="s">
        <v>47</v>
      </c>
      <c r="D29">
        <v>1</v>
      </c>
      <c r="E29" s="3">
        <f>VLOOKUP(B29:B32,CATALOGO!A:B,2,FALSE)</f>
        <v>20000</v>
      </c>
      <c r="F29" s="3">
        <f t="shared" si="1"/>
        <v>20000</v>
      </c>
    </row>
    <row r="30" spans="2:6" x14ac:dyDescent="0.2">
      <c r="E30" s="3"/>
      <c r="F30" s="3"/>
    </row>
    <row r="31" spans="2:6" x14ac:dyDescent="0.2">
      <c r="B31" t="s">
        <v>54</v>
      </c>
      <c r="D31">
        <v>0</v>
      </c>
      <c r="E31" s="3">
        <f>VLOOKUP(B31:B33,CATALOGO!A:B,2,FALSE)</f>
        <v>250000</v>
      </c>
      <c r="F31" s="3">
        <f t="shared" si="1"/>
        <v>0</v>
      </c>
    </row>
    <row r="32" spans="2:6" x14ac:dyDescent="0.2">
      <c r="B32" s="2" t="s">
        <v>8</v>
      </c>
      <c r="C32" s="2"/>
      <c r="D32" s="2"/>
      <c r="E32" s="2"/>
      <c r="F32" s="4">
        <f>SUM(F5:F31)</f>
        <v>5870000</v>
      </c>
    </row>
  </sheetData>
  <mergeCells count="1">
    <mergeCell ref="B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7"/>
  <sheetViews>
    <sheetView showGridLines="0" workbookViewId="0">
      <selection activeCell="F29" sqref="F29"/>
    </sheetView>
  </sheetViews>
  <sheetFormatPr defaultColWidth="10.76171875" defaultRowHeight="15" x14ac:dyDescent="0.2"/>
  <cols>
    <col min="5" max="6" width="14.125" bestFit="1" customWidth="1"/>
  </cols>
  <sheetData>
    <row r="1" spans="2:6" x14ac:dyDescent="0.2">
      <c r="B1" s="13" t="s">
        <v>22</v>
      </c>
      <c r="C1" s="13"/>
      <c r="D1" s="13"/>
      <c r="E1" s="13"/>
      <c r="F1" s="13"/>
    </row>
    <row r="2" spans="2:6" x14ac:dyDescent="0.2">
      <c r="B2" s="13"/>
      <c r="C2" s="13"/>
      <c r="D2" s="13"/>
      <c r="E2" s="13"/>
      <c r="F2" s="13"/>
    </row>
    <row r="3" spans="2:6" x14ac:dyDescent="0.2">
      <c r="B3" s="2" t="s">
        <v>0</v>
      </c>
      <c r="C3" s="2"/>
      <c r="D3" s="2" t="s">
        <v>11</v>
      </c>
      <c r="E3" s="2" t="s">
        <v>16</v>
      </c>
      <c r="F3" s="2"/>
    </row>
    <row r="4" spans="2:6" x14ac:dyDescent="0.2">
      <c r="B4" t="s">
        <v>18</v>
      </c>
      <c r="D4">
        <v>2</v>
      </c>
      <c r="E4" s="3">
        <f>VLOOKUP(B4,CATALOGO!A:B,2,FALSE)</f>
        <v>300000</v>
      </c>
      <c r="F4" s="3">
        <f>D4*E4</f>
        <v>600000</v>
      </c>
    </row>
    <row r="5" spans="2:6" x14ac:dyDescent="0.2">
      <c r="B5" t="s">
        <v>19</v>
      </c>
      <c r="D5">
        <v>1</v>
      </c>
      <c r="E5" s="3">
        <f>VLOOKUP(B5,CATALOGO!A:B,2,FALSE)</f>
        <v>800000</v>
      </c>
      <c r="F5" s="3">
        <f t="shared" ref="F5:F6" si="0">D5*E5</f>
        <v>800000</v>
      </c>
    </row>
    <row r="6" spans="2:6" x14ac:dyDescent="0.2">
      <c r="B6" t="s">
        <v>17</v>
      </c>
      <c r="D6">
        <v>0</v>
      </c>
      <c r="E6" s="3">
        <f>VLOOKUP(B6,CATALOGO!A:B,2,FALSE)</f>
        <v>1800000</v>
      </c>
      <c r="F6" s="3">
        <f t="shared" si="0"/>
        <v>0</v>
      </c>
    </row>
    <row r="7" spans="2:6" x14ac:dyDescent="0.2">
      <c r="B7" s="2" t="s">
        <v>8</v>
      </c>
      <c r="C7" s="2"/>
      <c r="D7" s="2"/>
      <c r="E7" s="2"/>
      <c r="F7" s="4">
        <f>SUM(F4:F6)</f>
        <v>1400000</v>
      </c>
    </row>
  </sheetData>
  <mergeCells count="1">
    <mergeCell ref="B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6"/>
  <sheetViews>
    <sheetView showGridLines="0" workbookViewId="0">
      <selection activeCell="E24" sqref="E24"/>
    </sheetView>
  </sheetViews>
  <sheetFormatPr defaultColWidth="10.76171875" defaultRowHeight="15" x14ac:dyDescent="0.2"/>
  <cols>
    <col min="5" max="5" width="12.5078125" bestFit="1" customWidth="1"/>
    <col min="6" max="6" width="12.64453125" bestFit="1" customWidth="1"/>
  </cols>
  <sheetData>
    <row r="1" spans="2:6" x14ac:dyDescent="0.2">
      <c r="B1" s="13" t="s">
        <v>23</v>
      </c>
      <c r="C1" s="13"/>
      <c r="D1" s="13"/>
      <c r="E1" s="13"/>
      <c r="F1" s="13"/>
    </row>
    <row r="2" spans="2:6" x14ac:dyDescent="0.2">
      <c r="B2" s="13"/>
      <c r="C2" s="13"/>
      <c r="D2" s="13"/>
      <c r="E2" s="13"/>
      <c r="F2" s="13"/>
    </row>
    <row r="3" spans="2:6" x14ac:dyDescent="0.2">
      <c r="B3" s="2" t="s">
        <v>0</v>
      </c>
      <c r="C3" s="2"/>
      <c r="D3" s="2" t="s">
        <v>11</v>
      </c>
      <c r="E3" s="2" t="s">
        <v>16</v>
      </c>
      <c r="F3" s="2"/>
    </row>
    <row r="4" spans="2:6" x14ac:dyDescent="0.2">
      <c r="B4" t="s">
        <v>57</v>
      </c>
      <c r="D4">
        <v>0</v>
      </c>
      <c r="E4" s="3">
        <f>VLOOKUP(B4,CATALOGO!A:B,2,FALSE)</f>
        <v>80000</v>
      </c>
      <c r="F4" s="3">
        <f>D4*E4</f>
        <v>0</v>
      </c>
    </row>
    <row r="5" spans="2:6" x14ac:dyDescent="0.2">
      <c r="B5" t="s">
        <v>15</v>
      </c>
      <c r="D5">
        <v>0</v>
      </c>
      <c r="E5" s="3">
        <f>VLOOKUP(B5,CATALOGO!A:B,2,FALSE)</f>
        <v>400000</v>
      </c>
      <c r="F5" s="3">
        <f>D5*E5</f>
        <v>0</v>
      </c>
    </row>
    <row r="6" spans="2:6" x14ac:dyDescent="0.2">
      <c r="B6" s="2" t="s">
        <v>8</v>
      </c>
      <c r="C6" s="2"/>
      <c r="D6" s="2"/>
      <c r="E6" s="2"/>
      <c r="F6" s="4">
        <f>SUM(F4:F5)</f>
        <v>0</v>
      </c>
    </row>
  </sheetData>
  <mergeCells count="1">
    <mergeCell ref="B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5"/>
  <sheetViews>
    <sheetView showGridLines="0" workbookViewId="0">
      <selection activeCell="G7" sqref="G7"/>
    </sheetView>
  </sheetViews>
  <sheetFormatPr defaultColWidth="10.76171875" defaultRowHeight="15" x14ac:dyDescent="0.2"/>
  <cols>
    <col min="5" max="6" width="12.5078125" bestFit="1" customWidth="1"/>
  </cols>
  <sheetData>
    <row r="1" spans="2:6" x14ac:dyDescent="0.2">
      <c r="B1" s="13" t="s">
        <v>33</v>
      </c>
      <c r="C1" s="13"/>
      <c r="D1" s="13"/>
      <c r="E1" s="13"/>
      <c r="F1" s="13"/>
    </row>
    <row r="2" spans="2:6" x14ac:dyDescent="0.2">
      <c r="B2" s="13"/>
      <c r="C2" s="13"/>
      <c r="D2" s="13"/>
      <c r="E2" s="13"/>
      <c r="F2" s="13"/>
    </row>
    <row r="3" spans="2:6" x14ac:dyDescent="0.2">
      <c r="B3" s="2" t="s">
        <v>0</v>
      </c>
      <c r="C3" s="2"/>
      <c r="D3" s="2" t="s">
        <v>11</v>
      </c>
      <c r="E3" s="2" t="s">
        <v>16</v>
      </c>
      <c r="F3" s="2"/>
    </row>
    <row r="4" spans="2:6" x14ac:dyDescent="0.2">
      <c r="B4" t="s">
        <v>34</v>
      </c>
      <c r="D4">
        <v>1</v>
      </c>
      <c r="E4" s="3">
        <f>VLOOKUP(B4,CATALOGO!A:B,2,FALSE)</f>
        <v>500000</v>
      </c>
      <c r="F4" s="3">
        <f>D4*E4</f>
        <v>500000</v>
      </c>
    </row>
    <row r="5" spans="2:6" x14ac:dyDescent="0.2">
      <c r="B5" s="2" t="s">
        <v>8</v>
      </c>
      <c r="C5" s="2"/>
      <c r="D5" s="2"/>
      <c r="E5" s="2"/>
      <c r="F5" s="4">
        <f>SUM(F4:F4)</f>
        <v>500000</v>
      </c>
    </row>
  </sheetData>
  <mergeCells count="1">
    <mergeCell ref="B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0"/>
  <sheetViews>
    <sheetView showGridLines="0" tabSelected="1" workbookViewId="0">
      <selection activeCell="F59" sqref="F59"/>
    </sheetView>
  </sheetViews>
  <sheetFormatPr defaultColWidth="10.76171875" defaultRowHeight="15" x14ac:dyDescent="0.2"/>
  <cols>
    <col min="2" max="2" width="18.96484375" bestFit="1" customWidth="1"/>
    <col min="5" max="5" width="12.5078125" bestFit="1" customWidth="1"/>
    <col min="6" max="6" width="18.83203125" bestFit="1" customWidth="1"/>
  </cols>
  <sheetData>
    <row r="1" spans="2:6" x14ac:dyDescent="0.2">
      <c r="B1" s="13" t="s">
        <v>7</v>
      </c>
      <c r="C1" s="14"/>
      <c r="D1" s="14"/>
      <c r="E1" s="14"/>
      <c r="F1" s="14"/>
    </row>
    <row r="2" spans="2:6" x14ac:dyDescent="0.2">
      <c r="B2" s="14"/>
      <c r="C2" s="14"/>
      <c r="D2" s="14"/>
      <c r="E2" s="14"/>
      <c r="F2" s="14"/>
    </row>
    <row r="3" spans="2:6" x14ac:dyDescent="0.2">
      <c r="B3" s="14"/>
      <c r="C3" s="14"/>
      <c r="D3" s="14"/>
      <c r="E3" s="14"/>
      <c r="F3" s="14"/>
    </row>
    <row r="4" spans="2:6" x14ac:dyDescent="0.2">
      <c r="B4" s="2" t="s">
        <v>0</v>
      </c>
      <c r="C4" s="2"/>
      <c r="D4" s="2" t="s">
        <v>58</v>
      </c>
      <c r="E4" s="2" t="s">
        <v>16</v>
      </c>
      <c r="F4" s="2"/>
    </row>
    <row r="5" spans="2:6" x14ac:dyDescent="0.2">
      <c r="B5" t="s">
        <v>1</v>
      </c>
      <c r="D5">
        <v>1</v>
      </c>
      <c r="E5" s="3">
        <f>VLOOKUP(COTIZACIÓN!B5,CATALOGO!A:B,2,FALSE)</f>
        <v>800000</v>
      </c>
      <c r="F5" s="3">
        <f>D5*E5</f>
        <v>800000</v>
      </c>
    </row>
    <row r="6" spans="2:6" x14ac:dyDescent="0.2">
      <c r="B6" t="s">
        <v>2</v>
      </c>
      <c r="D6">
        <v>4</v>
      </c>
      <c r="E6" s="3">
        <f>VLOOKUP(COTIZACIÓN!B6,CATALOGO!A:B,2,FALSE)</f>
        <v>340000</v>
      </c>
      <c r="F6" s="3">
        <f>D6*E6</f>
        <v>1360000</v>
      </c>
    </row>
    <row r="7" spans="2:6" x14ac:dyDescent="0.2">
      <c r="B7" t="s">
        <v>3</v>
      </c>
      <c r="F7" s="3">
        <f>LABORATORIO!F32</f>
        <v>5870000</v>
      </c>
    </row>
    <row r="8" spans="2:6" x14ac:dyDescent="0.2">
      <c r="B8" t="s">
        <v>4</v>
      </c>
      <c r="F8" s="3">
        <f>DENTISTA!F11</f>
        <v>2410000</v>
      </c>
    </row>
    <row r="9" spans="2:6" x14ac:dyDescent="0.2">
      <c r="B9" t="s">
        <v>21</v>
      </c>
      <c r="F9" s="3">
        <f>PERIODONCISTA!F6</f>
        <v>0</v>
      </c>
    </row>
    <row r="10" spans="2:6" x14ac:dyDescent="0.2">
      <c r="B10" t="s">
        <v>29</v>
      </c>
      <c r="F10" s="3">
        <f>ENDODONCISTA!F5</f>
        <v>500000</v>
      </c>
    </row>
    <row r="11" spans="2:6" x14ac:dyDescent="0.2">
      <c r="B11" t="s">
        <v>20</v>
      </c>
      <c r="F11" s="3">
        <f>IMPLANTOLOGO!F7</f>
        <v>1400000</v>
      </c>
    </row>
    <row r="12" spans="2:6" x14ac:dyDescent="0.2">
      <c r="B12" t="s">
        <v>9</v>
      </c>
      <c r="D12">
        <v>1</v>
      </c>
      <c r="E12" s="3">
        <f>VLOOKUP(B12,CATALOGO!A:B,2,FALSE)</f>
        <v>100000</v>
      </c>
      <c r="F12" s="3">
        <f>D12*E12</f>
        <v>100000</v>
      </c>
    </row>
    <row r="13" spans="2:6" x14ac:dyDescent="0.2">
      <c r="B13" t="s">
        <v>5</v>
      </c>
      <c r="D13">
        <v>1</v>
      </c>
      <c r="E13" s="3">
        <f>VLOOKUP(B13,CATALOGO!A:B,2,FALSE)</f>
        <v>450000</v>
      </c>
      <c r="F13" s="3">
        <f>D13*E13</f>
        <v>450000</v>
      </c>
    </row>
    <row r="14" spans="2:6" x14ac:dyDescent="0.2">
      <c r="B14" s="2" t="s">
        <v>8</v>
      </c>
      <c r="C14" s="2"/>
      <c r="D14" s="2"/>
      <c r="E14" s="2"/>
      <c r="F14" s="10">
        <f>SUM(F5:F13)</f>
        <v>12890000</v>
      </c>
    </row>
    <row r="16" spans="2:6" x14ac:dyDescent="0.2">
      <c r="B16" s="6" t="s">
        <v>6</v>
      </c>
      <c r="C16" s="6"/>
      <c r="D16" s="6"/>
      <c r="E16" s="6"/>
      <c r="F16" s="7">
        <v>1000</v>
      </c>
    </row>
    <row r="18" spans="2:6" ht="15.75" thickBot="1" x14ac:dyDescent="0.25">
      <c r="B18" s="8" t="s">
        <v>30</v>
      </c>
      <c r="C18" s="8"/>
      <c r="D18" s="8"/>
      <c r="E18" s="8"/>
      <c r="F18" s="9">
        <f>SUM(F14+F16)</f>
        <v>12891000</v>
      </c>
    </row>
    <row r="19" spans="2:6" ht="15.75" thickBot="1" x14ac:dyDescent="0.25">
      <c r="B19" s="8" t="s">
        <v>31</v>
      </c>
      <c r="C19" s="8"/>
      <c r="D19" s="8" t="s">
        <v>32</v>
      </c>
      <c r="E19" s="11">
        <v>3500</v>
      </c>
      <c r="F19" s="9">
        <f>F18/E19</f>
        <v>3683.1428571428573</v>
      </c>
    </row>
    <row r="20" spans="2:6" ht="15.75" thickBot="1" x14ac:dyDescent="0.25">
      <c r="B20" s="8" t="s">
        <v>59</v>
      </c>
      <c r="C20" s="8"/>
      <c r="D20" s="8"/>
      <c r="E20" s="8"/>
      <c r="F20" s="9">
        <f>ROUNDUP(F19,0)</f>
        <v>3684</v>
      </c>
    </row>
  </sheetData>
  <mergeCells count="1">
    <mergeCell ref="B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CATALOGO</vt:lpstr>
      <vt:lpstr>DENTISTA</vt:lpstr>
      <vt:lpstr>LABORATORIO</vt:lpstr>
      <vt:lpstr>IMPLANTOLOGO</vt:lpstr>
      <vt:lpstr>PERIODONCISTA</vt:lpstr>
      <vt:lpstr>ENDODONCISTA</vt:lpstr>
      <vt:lpstr>COTIZACIÓN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Valentina Urbano Bonilla</dc:creator>
  <cp:lastModifiedBy>Darcy Valentina Urbano Bonilla</cp:lastModifiedBy>
  <dcterms:created xsi:type="dcterms:W3CDTF">2026-01-27T23:11:06Z</dcterms:created>
  <dcterms:modified xsi:type="dcterms:W3CDTF">2026-01-28T00:30:35Z</dcterms:modified>
</cp:coreProperties>
</file>